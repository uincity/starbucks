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\scraping\store\starbucks\"/>
    </mc:Choice>
  </mc:AlternateContent>
  <bookViews>
    <workbookView xWindow="0" yWindow="0" windowWidth="21550" windowHeight="10730" activeTab="2"/>
  </bookViews>
  <sheets>
    <sheet name="Chart1" sheetId="4" r:id="rId1"/>
    <sheet name="시도별" sheetId="1" r:id="rId2"/>
    <sheet name="시군구별" sheetId="3" r:id="rId3"/>
  </sheets>
  <calcPr calcId="152511"/>
</workbook>
</file>

<file path=xl/calcChain.xml><?xml version="1.0" encoding="utf-8"?>
<calcChain xmlns="http://schemas.openxmlformats.org/spreadsheetml/2006/main">
  <c r="E32" i="3" l="1"/>
  <c r="E31" i="3"/>
  <c r="E30" i="3"/>
  <c r="E29" i="3"/>
  <c r="E28" i="3"/>
  <c r="E26" i="3"/>
  <c r="E25" i="3"/>
  <c r="E24" i="3"/>
  <c r="E23" i="3"/>
  <c r="E20" i="3"/>
  <c r="E17" i="3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3" i="1"/>
  <c r="F20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3" i="1"/>
  <c r="E20" i="1"/>
  <c r="D20" i="1"/>
</calcChain>
</file>

<file path=xl/sharedStrings.xml><?xml version="1.0" encoding="utf-8"?>
<sst xmlns="http://schemas.openxmlformats.org/spreadsheetml/2006/main" count="107" uniqueCount="69">
  <si>
    <t>시도</t>
  </si>
  <si>
    <t>서울특별시</t>
  </si>
  <si>
    <t>경기도</t>
  </si>
  <si>
    <t>부산광역시</t>
  </si>
  <si>
    <t>대구광역시</t>
  </si>
  <si>
    <t>경상남도</t>
  </si>
  <si>
    <t>인천광역시</t>
  </si>
  <si>
    <t>광주광역시</t>
  </si>
  <si>
    <t>대전광역시</t>
  </si>
  <si>
    <t>경상북도</t>
  </si>
  <si>
    <t>충청남도</t>
  </si>
  <si>
    <t>울산광역시</t>
  </si>
  <si>
    <t>전라북도</t>
  </si>
  <si>
    <t>강원도</t>
  </si>
  <si>
    <t>전라남도</t>
  </si>
  <si>
    <t>충청북도</t>
  </si>
  <si>
    <t>제주특별자치도</t>
  </si>
  <si>
    <t>세종특별자치시</t>
  </si>
  <si>
    <t>매장수</t>
    <phoneticPr fontId="3" type="noConversion"/>
  </si>
  <si>
    <t>2022년</t>
    <phoneticPr fontId="3" type="noConversion"/>
  </si>
  <si>
    <t>2023년</t>
    <phoneticPr fontId="3" type="noConversion"/>
  </si>
  <si>
    <t>합계</t>
    <phoneticPr fontId="3" type="noConversion"/>
  </si>
  <si>
    <t>증감</t>
    <phoneticPr fontId="3" type="noConversion"/>
  </si>
  <si>
    <t>순번</t>
    <phoneticPr fontId="3" type="noConversion"/>
  </si>
  <si>
    <t>증감비율</t>
    <phoneticPr fontId="3" type="noConversion"/>
  </si>
  <si>
    <t>시군구</t>
    <phoneticPr fontId="3" type="noConversion"/>
  </si>
  <si>
    <t>매장수</t>
    <phoneticPr fontId="3" type="noConversion"/>
  </si>
  <si>
    <t>시군구</t>
    <phoneticPr fontId="3" type="noConversion"/>
  </si>
  <si>
    <t>서울특별시 강남구</t>
  </si>
  <si>
    <t>서울특별시 중구</t>
  </si>
  <si>
    <t>경기도 성남시</t>
  </si>
  <si>
    <t>서울특별시 서초구</t>
  </si>
  <si>
    <t>경기도 고양시</t>
  </si>
  <si>
    <t>서울특별시 영등포구</t>
  </si>
  <si>
    <t>서울특별시 종로구</t>
  </si>
  <si>
    <t>경기도 수원시</t>
  </si>
  <si>
    <t>경기도 용인시</t>
  </si>
  <si>
    <t>서울특별시 마포구</t>
  </si>
  <si>
    <t>서울특별시 송파구</t>
  </si>
  <si>
    <t>경상남도 창원시</t>
  </si>
  <si>
    <t>부산광역시 해운대구</t>
  </si>
  <si>
    <t>경기도 화성시</t>
  </si>
  <si>
    <t>경기도 부천시</t>
  </si>
  <si>
    <t>서울특별시 강서구</t>
  </si>
  <si>
    <t>서울특별시 용산구</t>
  </si>
  <si>
    <t>대전광역시 서구</t>
  </si>
  <si>
    <t>서울특별시 서대문구</t>
  </si>
  <si>
    <t>대구광역시 수성구</t>
  </si>
  <si>
    <t>충청북도 청주시</t>
  </si>
  <si>
    <t>경기도 안양시</t>
  </si>
  <si>
    <t>전라북도 전주시</t>
  </si>
  <si>
    <t>충청남도 천안시</t>
  </si>
  <si>
    <t>대구광역시 달서구</t>
  </si>
  <si>
    <t>대전광역시 유성구</t>
  </si>
  <si>
    <t>부산광역시 부산진구</t>
  </si>
  <si>
    <t>서울특별시 광진구</t>
  </si>
  <si>
    <t>제주특별자치도 제주시</t>
  </si>
  <si>
    <t>경기도 남양주시</t>
  </si>
  <si>
    <t>서울특별시 양천구</t>
  </si>
  <si>
    <t>서울특별시 강동구</t>
  </si>
  <si>
    <t>2023년
순위</t>
    <phoneticPr fontId="3" type="noConversion"/>
  </si>
  <si>
    <t>2022년
순위</t>
    <phoneticPr fontId="3" type="noConversion"/>
  </si>
  <si>
    <t>순위변동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</si>
  <si>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</si>
  <si>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</si>
  <si>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</si>
  <si>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</si>
  <si>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</si>
  <si>
    <t>-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</si>
</sst>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 "/>
    <numFmt numFmtId="177" formatCode="#,##0_ "/>
  </numFmts>
  <fonts count="1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  <xf numFmtId="0" fontId="1" fillId="0" borderId="0" xfId="4">
      <alignment vertical="center"/>
    </xf>
    <xf numFmtId="0" fontId="1" fillId="0" borderId="1" xfId="4" applyBorder="1">
      <alignment vertical="center"/>
    </xf>
    <xf numFmtId="0" fontId="1" fillId="0" borderId="1" xfId="4" applyBorder="1" applyAlignment="1">
      <alignment horizontal="center" vertical="center"/>
    </xf>
    <xf numFmtId="0" fontId="1" fillId="0" borderId="0" xfId="4" applyAlignment="1">
      <alignment horizontal="center" vertical="center"/>
    </xf>
    <xf numFmtId="0" fontId="5" fillId="0" borderId="1" xfId="4" applyFont="1" applyBorder="1">
      <alignment vertical="center"/>
    </xf>
    <xf numFmtId="0" fontId="1" fillId="3" borderId="1" xfId="4" applyFill="1" applyBorder="1">
      <alignment vertical="center"/>
    </xf>
    <xf numFmtId="0" fontId="7" fillId="3" borderId="1" xfId="4" applyFont="1" applyFill="1" applyBorder="1">
      <alignment vertical="center"/>
    </xf>
    <xf numFmtId="0" fontId="9" fillId="4" borderId="1" xfId="4" applyFont="1" applyFill="1" applyBorder="1">
      <alignment vertical="center"/>
    </xf>
    <xf numFmtId="0" fontId="1" fillId="0" borderId="1" xfId="4" applyBorder="1" applyAlignment="1">
      <alignment horizontal="left" vertical="center"/>
    </xf>
    <xf numFmtId="0" fontId="1" fillId="0" borderId="1" xfId="4" applyBorder="1" applyAlignment="1">
      <alignment horizontal="right" vertical="center"/>
    </xf>
    <xf numFmtId="0" fontId="0" fillId="0" borderId="2" xfId="0" applyBorder="1">
      <alignment vertical="center"/>
    </xf>
    <xf numFmtId="0" fontId="0" fillId="0" borderId="6" xfId="0" applyBorder="1" applyAlignment="1">
      <alignment horizontal="center" vertical="center"/>
    </xf>
    <xf numFmtId="9" fontId="0" fillId="0" borderId="7" xfId="3" applyFont="1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horizontal="right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 applyAlignment="1">
      <alignment horizontal="left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14" xfId="0" applyFill="1" applyBorder="1">
      <alignment vertical="center"/>
    </xf>
    <xf numFmtId="9" fontId="0" fillId="0" borderId="21" xfId="3" applyFont="1" applyBorder="1">
      <alignment vertical="center"/>
    </xf>
    <xf numFmtId="176" fontId="0" fillId="0" borderId="10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3" xfId="0" applyNumberFormat="1" applyBorder="1">
      <alignment vertical="center"/>
    </xf>
    <xf numFmtId="0" fontId="7" fillId="2" borderId="4" xfId="4" applyFont="1" applyFill="1" applyBorder="1" applyAlignment="1">
      <alignment horizontal="center" vertical="center" wrapText="1"/>
    </xf>
    <xf numFmtId="0" fontId="7" fillId="2" borderId="5" xfId="4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0" borderId="6" xfId="4" applyBorder="1" applyAlignment="1">
      <alignment horizontal="center" vertical="center"/>
    </xf>
    <xf numFmtId="0" fontId="1" fillId="0" borderId="8" xfId="4" applyBorder="1" applyAlignment="1">
      <alignment horizontal="center" vertical="center"/>
    </xf>
    <xf numFmtId="0" fontId="1" fillId="0" borderId="9" xfId="4" applyBorder="1">
      <alignment vertical="center"/>
    </xf>
    <xf numFmtId="0" fontId="1" fillId="0" borderId="9" xfId="4" applyBorder="1" applyAlignment="1">
      <alignment horizontal="left" vertical="center"/>
    </xf>
    <xf numFmtId="0" fontId="1" fillId="0" borderId="23" xfId="4" applyBorder="1">
      <alignment vertical="center"/>
    </xf>
    <xf numFmtId="0" fontId="8" fillId="0" borderId="9" xfId="4" applyFont="1" applyBorder="1">
      <alignment vertical="center"/>
    </xf>
    <xf numFmtId="0" fontId="1" fillId="0" borderId="24" xfId="4" applyBorder="1">
      <alignment vertical="center"/>
    </xf>
    <xf numFmtId="0" fontId="7" fillId="5" borderId="4" xfId="4" applyFont="1" applyFill="1" applyBorder="1" applyAlignment="1">
      <alignment horizontal="center" vertical="center" wrapText="1"/>
    </xf>
    <xf numFmtId="0" fontId="7" fillId="5" borderId="5" xfId="4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177" fontId="6" fillId="2" borderId="22" xfId="2" applyNumberFormat="1" applyFont="1" applyFill="1" applyBorder="1" applyAlignment="1">
      <alignment horizontal="center" vertical="center"/>
    </xf>
    <xf numFmtId="177" fontId="1" fillId="0" borderId="0" xfId="2" applyNumberFormat="1" applyFont="1">
      <alignment vertical="center"/>
    </xf>
    <xf numFmtId="177" fontId="1" fillId="0" borderId="23" xfId="2" applyNumberFormat="1" applyFont="1" applyBorder="1" applyAlignment="1">
      <alignment horizontal="center" vertical="center"/>
    </xf>
    <xf numFmtId="177" fontId="1" fillId="0" borderId="24" xfId="2" applyNumberFormat="1" applyFont="1" applyBorder="1" applyAlignment="1">
      <alignment horizontal="center" vertical="center"/>
    </xf>
  </cellXfs>
  <cellStyles count="5">
    <cellStyle name="백분율" xfId="3" builtinId="5"/>
    <cellStyle name="쉼표 [0]" xfId="2" builtinId="6"/>
    <cellStyle name="표준" xfId="0" builtinId="0"/>
    <cellStyle name="표준 2" xfId="1"/>
    <cellStyle name="표준 2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2022</a:t>
            </a:r>
            <a:r>
              <a:rPr lang="ko-KR"/>
              <a:t>년 </a:t>
            </a:r>
            <a:r>
              <a:rPr lang="en-US"/>
              <a:t>vs 2023</a:t>
            </a:r>
            <a:r>
              <a:rPr lang="ko-KR"/>
              <a:t>년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시도별!$D$2</c:f>
              <c:strCache>
                <c:ptCount val="1"/>
                <c:pt idx="0">
                  <c:v>2022년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시도별!$C$3:$C$19</c:f>
              <c:strCache>
                <c:ptCount val="17"/>
                <c:pt idx="0">
                  <c:v>서울특별시</c:v>
                </c:pt>
                <c:pt idx="1">
                  <c:v>경기도</c:v>
                </c:pt>
                <c:pt idx="2">
                  <c:v>부산광역시</c:v>
                </c:pt>
                <c:pt idx="3">
                  <c:v>대구광역시</c:v>
                </c:pt>
                <c:pt idx="4">
                  <c:v>경상남도</c:v>
                </c:pt>
                <c:pt idx="5">
                  <c:v>인천광역시</c:v>
                </c:pt>
                <c:pt idx="6">
                  <c:v>광주광역시</c:v>
                </c:pt>
                <c:pt idx="7">
                  <c:v>대전광역시</c:v>
                </c:pt>
                <c:pt idx="8">
                  <c:v>경상북도</c:v>
                </c:pt>
                <c:pt idx="9">
                  <c:v>충청남도</c:v>
                </c:pt>
                <c:pt idx="10">
                  <c:v>울산광역시</c:v>
                </c:pt>
                <c:pt idx="11">
                  <c:v>전라북도</c:v>
                </c:pt>
                <c:pt idx="12">
                  <c:v>강원도</c:v>
                </c:pt>
                <c:pt idx="13">
                  <c:v>전라남도</c:v>
                </c:pt>
                <c:pt idx="14">
                  <c:v>충청북도</c:v>
                </c:pt>
                <c:pt idx="15">
                  <c:v>제주특별자치도</c:v>
                </c:pt>
                <c:pt idx="16">
                  <c:v>세종특별자치시</c:v>
                </c:pt>
              </c:strCache>
            </c:strRef>
          </c:cat>
          <c:val>
            <c:numRef>
              <c:f>시도별!$D$3:$D$19</c:f>
              <c:numCache>
                <c:formatCode>General</c:formatCode>
                <c:ptCount val="17"/>
                <c:pt idx="0">
                  <c:v>575</c:v>
                </c:pt>
                <c:pt idx="1">
                  <c:v>394</c:v>
                </c:pt>
                <c:pt idx="2">
                  <c:v>128</c:v>
                </c:pt>
                <c:pt idx="3">
                  <c:v>71</c:v>
                </c:pt>
                <c:pt idx="4">
                  <c:v>67</c:v>
                </c:pt>
                <c:pt idx="5">
                  <c:v>67</c:v>
                </c:pt>
                <c:pt idx="6">
                  <c:v>60</c:v>
                </c:pt>
                <c:pt idx="7">
                  <c:v>59</c:v>
                </c:pt>
                <c:pt idx="8">
                  <c:v>49</c:v>
                </c:pt>
                <c:pt idx="9">
                  <c:v>37</c:v>
                </c:pt>
                <c:pt idx="10">
                  <c:v>30</c:v>
                </c:pt>
                <c:pt idx="11">
                  <c:v>30</c:v>
                </c:pt>
                <c:pt idx="12">
                  <c:v>28</c:v>
                </c:pt>
                <c:pt idx="13">
                  <c:v>27</c:v>
                </c:pt>
                <c:pt idx="14">
                  <c:v>25</c:v>
                </c:pt>
                <c:pt idx="15">
                  <c:v>23</c:v>
                </c:pt>
                <c:pt idx="16">
                  <c:v>11</c:v>
                </c:pt>
              </c:numCache>
            </c:numRef>
          </c:val>
        </c:ser>
        <c:ser>
          <c:idx val="1"/>
          <c:order val="1"/>
          <c:tx>
            <c:strRef>
              <c:f>시도별!$E$2</c:f>
              <c:strCache>
                <c:ptCount val="1"/>
                <c:pt idx="0">
                  <c:v>2023년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시도별!$C$3:$C$19</c:f>
              <c:strCache>
                <c:ptCount val="17"/>
                <c:pt idx="0">
                  <c:v>서울특별시</c:v>
                </c:pt>
                <c:pt idx="1">
                  <c:v>경기도</c:v>
                </c:pt>
                <c:pt idx="2">
                  <c:v>부산광역시</c:v>
                </c:pt>
                <c:pt idx="3">
                  <c:v>대구광역시</c:v>
                </c:pt>
                <c:pt idx="4">
                  <c:v>경상남도</c:v>
                </c:pt>
                <c:pt idx="5">
                  <c:v>인천광역시</c:v>
                </c:pt>
                <c:pt idx="6">
                  <c:v>광주광역시</c:v>
                </c:pt>
                <c:pt idx="7">
                  <c:v>대전광역시</c:v>
                </c:pt>
                <c:pt idx="8">
                  <c:v>경상북도</c:v>
                </c:pt>
                <c:pt idx="9">
                  <c:v>충청남도</c:v>
                </c:pt>
                <c:pt idx="10">
                  <c:v>울산광역시</c:v>
                </c:pt>
                <c:pt idx="11">
                  <c:v>전라북도</c:v>
                </c:pt>
                <c:pt idx="12">
                  <c:v>강원도</c:v>
                </c:pt>
                <c:pt idx="13">
                  <c:v>전라남도</c:v>
                </c:pt>
                <c:pt idx="14">
                  <c:v>충청북도</c:v>
                </c:pt>
                <c:pt idx="15">
                  <c:v>제주특별자치도</c:v>
                </c:pt>
                <c:pt idx="16">
                  <c:v>세종특별자치시</c:v>
                </c:pt>
              </c:strCache>
            </c:strRef>
          </c:cat>
          <c:val>
            <c:numRef>
              <c:f>시도별!$E$3:$E$19</c:f>
              <c:numCache>
                <c:formatCode>General</c:formatCode>
                <c:ptCount val="17"/>
                <c:pt idx="0">
                  <c:v>603</c:v>
                </c:pt>
                <c:pt idx="1">
                  <c:v>437</c:v>
                </c:pt>
                <c:pt idx="2">
                  <c:v>137</c:v>
                </c:pt>
                <c:pt idx="3">
                  <c:v>79</c:v>
                </c:pt>
                <c:pt idx="4">
                  <c:v>74</c:v>
                </c:pt>
                <c:pt idx="5">
                  <c:v>73</c:v>
                </c:pt>
                <c:pt idx="6">
                  <c:v>64</c:v>
                </c:pt>
                <c:pt idx="7">
                  <c:v>62</c:v>
                </c:pt>
                <c:pt idx="8">
                  <c:v>55</c:v>
                </c:pt>
                <c:pt idx="9">
                  <c:v>43</c:v>
                </c:pt>
                <c:pt idx="10">
                  <c:v>35</c:v>
                </c:pt>
                <c:pt idx="11">
                  <c:v>33</c:v>
                </c:pt>
                <c:pt idx="12">
                  <c:v>31</c:v>
                </c:pt>
                <c:pt idx="13">
                  <c:v>30</c:v>
                </c:pt>
                <c:pt idx="14">
                  <c:v>30</c:v>
                </c:pt>
                <c:pt idx="15">
                  <c:v>28</c:v>
                </c:pt>
                <c:pt idx="16">
                  <c:v>12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90118336"/>
        <c:axId val="1990124864"/>
      </c:barChart>
      <c:catAx>
        <c:axId val="199011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0124864"/>
        <c:crosses val="autoZero"/>
        <c:auto val="1"/>
        <c:lblAlgn val="ctr"/>
        <c:lblOffset val="100"/>
        <c:noMultiLvlLbl val="0"/>
      </c:catAx>
      <c:valAx>
        <c:axId val="19901248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9011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551" cy="6071075"/>
    <xdr:graphicFrame macro="">
      <xdr:nvGraphicFramePr>
        <xdr:cNvPr id="2" name="차트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0"/>
  <sheetViews>
    <sheetView zoomScale="115" zoomScaleNormal="115" workbookViewId="0">
      <selection activeCell="K15" sqref="K15"/>
    </sheetView>
  </sheetViews>
  <sheetFormatPr defaultRowHeight="17" x14ac:dyDescent="0.45"/>
  <cols>
    <col min="2" max="2" width="4.83203125" bestFit="1" customWidth="1"/>
    <col min="3" max="3" width="14.33203125" bestFit="1" customWidth="1"/>
    <col min="4" max="4" width="9.25" customWidth="1"/>
    <col min="5" max="5" width="20.83203125" customWidth="1"/>
    <col min="6" max="6" width="20.75" customWidth="1"/>
    <col min="7" max="7" width="10.5" customWidth="1"/>
  </cols>
  <sheetData>
    <row r="1" spans="2:7" ht="17.5" thickBot="1" x14ac:dyDescent="0.5"/>
    <row r="2" spans="2:7" ht="30.5" customHeight="1" thickBot="1" x14ac:dyDescent="0.5">
      <c r="B2" s="20" t="s">
        <v>23</v>
      </c>
      <c r="C2" s="21" t="s">
        <v>0</v>
      </c>
      <c r="D2" s="21" t="s">
        <v>19</v>
      </c>
      <c r="E2" s="21" t="s">
        <v>20</v>
      </c>
      <c r="F2" s="21" t="s">
        <v>22</v>
      </c>
      <c r="G2" s="22" t="s">
        <v>24</v>
      </c>
    </row>
    <row r="3" spans="2:7" x14ac:dyDescent="0.45">
      <c r="B3" s="32">
        <v>1</v>
      </c>
      <c r="C3" s="17" t="s">
        <v>1</v>
      </c>
      <c r="D3" s="18">
        <v>575</v>
      </c>
      <c r="E3" s="19">
        <v>603</v>
      </c>
      <c r="F3" s="17">
        <f>E3-D3</f>
        <v>28</v>
      </c>
      <c r="G3" s="15">
        <f>F3/D3</f>
        <v>4.8695652173913043E-2</v>
      </c>
    </row>
    <row r="4" spans="2:7" x14ac:dyDescent="0.45">
      <c r="B4" s="33">
        <v>2</v>
      </c>
      <c r="C4" s="2" t="s">
        <v>2</v>
      </c>
      <c r="D4" s="13">
        <v>394</v>
      </c>
      <c r="E4" s="14">
        <v>437</v>
      </c>
      <c r="F4" s="1">
        <f t="shared" ref="F4:F20" si="0">E4-D4</f>
        <v>43</v>
      </c>
      <c r="G4" s="15">
        <f t="shared" ref="G4:G20" si="1">F4/D4</f>
        <v>0.10913705583756345</v>
      </c>
    </row>
    <row r="5" spans="2:7" x14ac:dyDescent="0.45">
      <c r="B5" s="33">
        <v>3</v>
      </c>
      <c r="C5" s="1" t="s">
        <v>3</v>
      </c>
      <c r="D5" s="13">
        <v>128</v>
      </c>
      <c r="E5" s="16">
        <v>137</v>
      </c>
      <c r="F5" s="1">
        <f t="shared" si="0"/>
        <v>9</v>
      </c>
      <c r="G5" s="15">
        <f t="shared" si="1"/>
        <v>7.03125E-2</v>
      </c>
    </row>
    <row r="6" spans="2:7" x14ac:dyDescent="0.45">
      <c r="B6" s="33">
        <v>4</v>
      </c>
      <c r="C6" s="1" t="s">
        <v>4</v>
      </c>
      <c r="D6" s="13">
        <v>71</v>
      </c>
      <c r="E6" s="16">
        <v>79</v>
      </c>
      <c r="F6" s="1">
        <f t="shared" si="0"/>
        <v>8</v>
      </c>
      <c r="G6" s="15">
        <f t="shared" si="1"/>
        <v>0.11267605633802817</v>
      </c>
    </row>
    <row r="7" spans="2:7" x14ac:dyDescent="0.45">
      <c r="B7" s="33">
        <v>5</v>
      </c>
      <c r="C7" s="1" t="s">
        <v>5</v>
      </c>
      <c r="D7" s="13">
        <v>67</v>
      </c>
      <c r="E7" s="16">
        <v>74</v>
      </c>
      <c r="F7" s="1">
        <f t="shared" si="0"/>
        <v>7</v>
      </c>
      <c r="G7" s="15">
        <f t="shared" si="1"/>
        <v>0.1044776119402985</v>
      </c>
    </row>
    <row r="8" spans="2:7" x14ac:dyDescent="0.45">
      <c r="B8" s="33">
        <v>6</v>
      </c>
      <c r="C8" s="1" t="s">
        <v>6</v>
      </c>
      <c r="D8" s="13">
        <v>67</v>
      </c>
      <c r="E8" s="16">
        <v>73</v>
      </c>
      <c r="F8" s="1">
        <f t="shared" si="0"/>
        <v>6</v>
      </c>
      <c r="G8" s="15">
        <f t="shared" si="1"/>
        <v>8.9552238805970144E-2</v>
      </c>
    </row>
    <row r="9" spans="2:7" x14ac:dyDescent="0.45">
      <c r="B9" s="33">
        <v>7</v>
      </c>
      <c r="C9" s="1" t="s">
        <v>7</v>
      </c>
      <c r="D9" s="13">
        <v>60</v>
      </c>
      <c r="E9" s="16">
        <v>64</v>
      </c>
      <c r="F9" s="1">
        <f t="shared" si="0"/>
        <v>4</v>
      </c>
      <c r="G9" s="15">
        <f t="shared" si="1"/>
        <v>6.6666666666666666E-2</v>
      </c>
    </row>
    <row r="10" spans="2:7" x14ac:dyDescent="0.45">
      <c r="B10" s="33">
        <v>8</v>
      </c>
      <c r="C10" s="1" t="s">
        <v>8</v>
      </c>
      <c r="D10" s="13">
        <v>59</v>
      </c>
      <c r="E10" s="16">
        <v>62</v>
      </c>
      <c r="F10" s="1">
        <f t="shared" si="0"/>
        <v>3</v>
      </c>
      <c r="G10" s="15">
        <f t="shared" si="1"/>
        <v>5.0847457627118647E-2</v>
      </c>
    </row>
    <row r="11" spans="2:7" x14ac:dyDescent="0.45">
      <c r="B11" s="33">
        <v>9</v>
      </c>
      <c r="C11" s="1" t="s">
        <v>9</v>
      </c>
      <c r="D11" s="13">
        <v>49</v>
      </c>
      <c r="E11" s="16">
        <v>55</v>
      </c>
      <c r="F11" s="1">
        <f t="shared" si="0"/>
        <v>6</v>
      </c>
      <c r="G11" s="15">
        <f t="shared" si="1"/>
        <v>0.12244897959183673</v>
      </c>
    </row>
    <row r="12" spans="2:7" x14ac:dyDescent="0.45">
      <c r="B12" s="33">
        <v>10</v>
      </c>
      <c r="C12" s="1" t="s">
        <v>10</v>
      </c>
      <c r="D12" s="13">
        <v>37</v>
      </c>
      <c r="E12" s="16">
        <v>43</v>
      </c>
      <c r="F12" s="1">
        <f t="shared" si="0"/>
        <v>6</v>
      </c>
      <c r="G12" s="15">
        <f t="shared" si="1"/>
        <v>0.16216216216216217</v>
      </c>
    </row>
    <row r="13" spans="2:7" x14ac:dyDescent="0.45">
      <c r="B13" s="33">
        <v>11</v>
      </c>
      <c r="C13" s="1" t="s">
        <v>11</v>
      </c>
      <c r="D13" s="13">
        <v>30</v>
      </c>
      <c r="E13" s="16">
        <v>35</v>
      </c>
      <c r="F13" s="1">
        <f t="shared" si="0"/>
        <v>5</v>
      </c>
      <c r="G13" s="15">
        <f t="shared" si="1"/>
        <v>0.16666666666666666</v>
      </c>
    </row>
    <row r="14" spans="2:7" x14ac:dyDescent="0.45">
      <c r="B14" s="33">
        <v>12</v>
      </c>
      <c r="C14" s="1" t="s">
        <v>12</v>
      </c>
      <c r="D14" s="13">
        <v>30</v>
      </c>
      <c r="E14" s="16">
        <v>33</v>
      </c>
      <c r="F14" s="1">
        <f t="shared" si="0"/>
        <v>3</v>
      </c>
      <c r="G14" s="15">
        <f t="shared" si="1"/>
        <v>0.1</v>
      </c>
    </row>
    <row r="15" spans="2:7" x14ac:dyDescent="0.45">
      <c r="B15" s="33">
        <v>13</v>
      </c>
      <c r="C15" s="1" t="s">
        <v>13</v>
      </c>
      <c r="D15" s="13">
        <v>28</v>
      </c>
      <c r="E15" s="16">
        <v>31</v>
      </c>
      <c r="F15" s="1">
        <f t="shared" si="0"/>
        <v>3</v>
      </c>
      <c r="G15" s="15">
        <f t="shared" si="1"/>
        <v>0.10714285714285714</v>
      </c>
    </row>
    <row r="16" spans="2:7" x14ac:dyDescent="0.45">
      <c r="B16" s="33">
        <v>14</v>
      </c>
      <c r="C16" s="1" t="s">
        <v>14</v>
      </c>
      <c r="D16" s="13">
        <v>27</v>
      </c>
      <c r="E16" s="16">
        <v>30</v>
      </c>
      <c r="F16" s="1">
        <f t="shared" si="0"/>
        <v>3</v>
      </c>
      <c r="G16" s="15">
        <f t="shared" si="1"/>
        <v>0.1111111111111111</v>
      </c>
    </row>
    <row r="17" spans="2:7" x14ac:dyDescent="0.45">
      <c r="B17" s="33">
        <v>15</v>
      </c>
      <c r="C17" s="2" t="s">
        <v>15</v>
      </c>
      <c r="D17" s="13">
        <v>25</v>
      </c>
      <c r="E17" s="16">
        <v>30</v>
      </c>
      <c r="F17" s="1">
        <f t="shared" si="0"/>
        <v>5</v>
      </c>
      <c r="G17" s="15">
        <f t="shared" si="1"/>
        <v>0.2</v>
      </c>
    </row>
    <row r="18" spans="2:7" x14ac:dyDescent="0.45">
      <c r="B18" s="33">
        <v>16</v>
      </c>
      <c r="C18" s="2" t="s">
        <v>16</v>
      </c>
      <c r="D18" s="13">
        <v>23</v>
      </c>
      <c r="E18" s="16">
        <v>28</v>
      </c>
      <c r="F18" s="1">
        <f t="shared" si="0"/>
        <v>5</v>
      </c>
      <c r="G18" s="15">
        <f t="shared" si="1"/>
        <v>0.21739130434782608</v>
      </c>
    </row>
    <row r="19" spans="2:7" ht="17.5" thickBot="1" x14ac:dyDescent="0.5">
      <c r="B19" s="34">
        <v>17</v>
      </c>
      <c r="C19" s="23" t="s">
        <v>17</v>
      </c>
      <c r="D19" s="24">
        <v>11</v>
      </c>
      <c r="E19" s="25">
        <v>12</v>
      </c>
      <c r="F19" s="23">
        <f t="shared" si="0"/>
        <v>1</v>
      </c>
      <c r="G19" s="15">
        <f t="shared" si="1"/>
        <v>9.0909090909090912E-2</v>
      </c>
    </row>
    <row r="20" spans="2:7" ht="26" customHeight="1" thickBot="1" x14ac:dyDescent="0.5">
      <c r="B20" s="26" t="s">
        <v>21</v>
      </c>
      <c r="C20" s="27"/>
      <c r="D20" s="28">
        <f>SUM(D3:D19)</f>
        <v>1681</v>
      </c>
      <c r="E20" s="29">
        <f>SUM(E3:E19)</f>
        <v>1826</v>
      </c>
      <c r="F20" s="30">
        <f t="shared" si="0"/>
        <v>145</v>
      </c>
      <c r="G20" s="31">
        <f t="shared" si="1"/>
        <v>8.6258179654967279E-2</v>
      </c>
    </row>
  </sheetData>
  <mergeCells count="1">
    <mergeCell ref="B20:C20"/>
  </mergeCells>
  <phoneticPr fontId="3" type="noConversion"/>
  <conditionalFormatting sqref="G3:G2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19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{3C1D7991-AD6B-4B9C-A75E-EF87DF85ED7A}</x14:id>
        </ext>
      </extLst>
    </cfRule>
  </conditionalFormatting>
  <conditionalFormatting sqref="E3:E1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{BBB29A53-554C-46D6-B491-E31C074CE88E}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1D7991-AD6B-4B9C-A75E-EF87DF85ED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F3:F19</xm:sqref>
        </x14:conditionalFormatting>
        <x14:conditionalFormatting xmlns:xm="http://schemas.microsoft.com/office/excel/2006/main">
          <x14:cfRule type="dataBar" id="{BBB29A53-554C-46D6-B491-E31C074CE8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2"/>
  <sheetViews>
    <sheetView tabSelected="1" zoomScale="85" zoomScaleNormal="85" workbookViewId="0">
      <selection activeCell="E26" sqref="E26"/>
    </sheetView>
  </sheetViews>
  <sheetFormatPr defaultRowHeight="17" x14ac:dyDescent="0.45"/>
  <cols>
    <col min="1" max="1" width="8.6640625" style="3"/>
    <col min="2" max="2" width="7.5" style="6" bestFit="1" customWidth="1"/>
    <col min="3" max="3" width="24.83203125" style="3" bestFit="1" customWidth="1"/>
    <col min="4" max="4" width="15.1640625" style="3" customWidth="1"/>
    <col min="5" max="5" width="8.6640625" style="49"/>
    <col min="6" max="6" width="8.6640625" style="6"/>
    <col min="7" max="7" width="19" style="3" bestFit="1" customWidth="1"/>
    <col min="8" max="16384" width="8.6640625" style="3"/>
  </cols>
  <sheetData>
    <row r="1" spans="2:8" ht="17.5" thickBot="1" x14ac:dyDescent="0.5"/>
    <row r="2" spans="2:8" ht="34" x14ac:dyDescent="0.45">
      <c r="B2" s="35" t="s">
        <v>60</v>
      </c>
      <c r="C2" s="36" t="s">
        <v>25</v>
      </c>
      <c r="D2" s="37" t="s">
        <v>26</v>
      </c>
      <c r="E2" s="48" t="s">
        <v>62</v>
      </c>
      <c r="F2" s="45" t="s">
        <v>61</v>
      </c>
      <c r="G2" s="46" t="s">
        <v>27</v>
      </c>
      <c r="H2" s="47" t="s">
        <v>18</v>
      </c>
    </row>
    <row r="3" spans="2:8" x14ac:dyDescent="0.45">
      <c r="B3" s="38">
        <v>1</v>
      </c>
      <c r="C3" s="4" t="s">
        <v>28</v>
      </c>
      <c r="D3" s="12">
        <v>88</v>
      </c>
      <c r="E3" s="50" t="s">
        <v>63</v>
      </c>
      <c r="F3" s="38">
        <v>1</v>
      </c>
      <c r="G3" s="4" t="s">
        <v>28</v>
      </c>
      <c r="H3" s="42">
        <v>87</v>
      </c>
    </row>
    <row r="4" spans="2:8" x14ac:dyDescent="0.45">
      <c r="B4" s="38">
        <v>2</v>
      </c>
      <c r="C4" s="4" t="s">
        <v>29</v>
      </c>
      <c r="D4" s="5">
        <v>54</v>
      </c>
      <c r="E4" s="50" t="s">
        <v>64</v>
      </c>
      <c r="F4" s="38">
        <v>2</v>
      </c>
      <c r="G4" s="4" t="s">
        <v>29</v>
      </c>
      <c r="H4" s="42">
        <v>53</v>
      </c>
    </row>
    <row r="5" spans="2:8" x14ac:dyDescent="0.45">
      <c r="B5" s="38">
        <v>3</v>
      </c>
      <c r="C5" s="4" t="s">
        <v>30</v>
      </c>
      <c r="D5" s="5">
        <v>51</v>
      </c>
      <c r="E5" s="50" t="s">
        <v>65</v>
      </c>
      <c r="F5" s="38">
        <v>3</v>
      </c>
      <c r="G5" s="4" t="s">
        <v>30</v>
      </c>
      <c r="H5" s="42">
        <v>50</v>
      </c>
    </row>
    <row r="6" spans="2:8" x14ac:dyDescent="0.45">
      <c r="B6" s="38">
        <v>4</v>
      </c>
      <c r="C6" s="4" t="s">
        <v>31</v>
      </c>
      <c r="D6" s="5">
        <v>49</v>
      </c>
      <c r="E6" s="50" t="s">
        <v>65</v>
      </c>
      <c r="F6" s="38">
        <v>4</v>
      </c>
      <c r="G6" s="4" t="s">
        <v>31</v>
      </c>
      <c r="H6" s="42">
        <v>48</v>
      </c>
    </row>
    <row r="7" spans="2:8" x14ac:dyDescent="0.45">
      <c r="B7" s="38">
        <v>5</v>
      </c>
      <c r="C7" s="4" t="s">
        <v>32</v>
      </c>
      <c r="D7" s="5">
        <v>44</v>
      </c>
      <c r="E7" s="50" t="s">
        <v>65</v>
      </c>
      <c r="F7" s="38">
        <v>5</v>
      </c>
      <c r="G7" s="4" t="s">
        <v>32</v>
      </c>
      <c r="H7" s="42">
        <v>43</v>
      </c>
    </row>
    <row r="8" spans="2:8" x14ac:dyDescent="0.45">
      <c r="B8" s="38">
        <v>6</v>
      </c>
      <c r="C8" s="4" t="s">
        <v>33</v>
      </c>
      <c r="D8" s="5">
        <v>41</v>
      </c>
      <c r="E8" s="50" t="s">
        <v>65</v>
      </c>
      <c r="F8" s="38">
        <v>6</v>
      </c>
      <c r="G8" s="4" t="s">
        <v>33</v>
      </c>
      <c r="H8" s="42">
        <v>40</v>
      </c>
    </row>
    <row r="9" spans="2:8" x14ac:dyDescent="0.45">
      <c r="B9" s="38">
        <v>7</v>
      </c>
      <c r="C9" s="4" t="s">
        <v>34</v>
      </c>
      <c r="D9" s="5">
        <v>40</v>
      </c>
      <c r="E9" s="50" t="s">
        <v>66</v>
      </c>
      <c r="F9" s="38">
        <v>7</v>
      </c>
      <c r="G9" s="4" t="s">
        <v>34</v>
      </c>
      <c r="H9" s="42">
        <v>39</v>
      </c>
    </row>
    <row r="10" spans="2:8" x14ac:dyDescent="0.45">
      <c r="B10" s="38">
        <v>8</v>
      </c>
      <c r="C10" s="4" t="s">
        <v>35</v>
      </c>
      <c r="D10" s="5">
        <v>39</v>
      </c>
      <c r="E10" s="50" t="s">
        <v>65</v>
      </c>
      <c r="F10" s="38">
        <v>8</v>
      </c>
      <c r="G10" s="4" t="s">
        <v>35</v>
      </c>
      <c r="H10" s="42">
        <v>35</v>
      </c>
    </row>
    <row r="11" spans="2:8" x14ac:dyDescent="0.45">
      <c r="B11" s="38">
        <v>9</v>
      </c>
      <c r="C11" s="4" t="s">
        <v>36</v>
      </c>
      <c r="D11" s="5">
        <v>39</v>
      </c>
      <c r="E11" s="50" t="s">
        <v>65</v>
      </c>
      <c r="F11" s="38">
        <v>9</v>
      </c>
      <c r="G11" s="4" t="s">
        <v>36</v>
      </c>
      <c r="H11" s="42">
        <v>35</v>
      </c>
    </row>
    <row r="12" spans="2:8" x14ac:dyDescent="0.45">
      <c r="B12" s="38">
        <v>10</v>
      </c>
      <c r="C12" s="8" t="s">
        <v>37</v>
      </c>
      <c r="D12" s="11">
        <v>36</v>
      </c>
      <c r="E12" s="50">
        <v>1</v>
      </c>
      <c r="F12" s="38">
        <v>10</v>
      </c>
      <c r="G12" s="4" t="s">
        <v>38</v>
      </c>
      <c r="H12" s="42">
        <v>34</v>
      </c>
    </row>
    <row r="13" spans="2:8" x14ac:dyDescent="0.45">
      <c r="B13" s="38">
        <v>11</v>
      </c>
      <c r="C13" s="4" t="s">
        <v>38</v>
      </c>
      <c r="D13" s="11">
        <v>36</v>
      </c>
      <c r="E13" s="50" t="s">
        <v>67</v>
      </c>
      <c r="F13" s="38">
        <v>11</v>
      </c>
      <c r="G13" s="4" t="s">
        <v>37</v>
      </c>
      <c r="H13" s="42">
        <v>33</v>
      </c>
    </row>
    <row r="14" spans="2:8" x14ac:dyDescent="0.45">
      <c r="B14" s="38">
        <v>12</v>
      </c>
      <c r="C14" s="8" t="s">
        <v>39</v>
      </c>
      <c r="D14" s="11">
        <v>32</v>
      </c>
      <c r="E14" s="50">
        <v>1</v>
      </c>
      <c r="F14" s="38">
        <v>12</v>
      </c>
      <c r="G14" s="4" t="s">
        <v>40</v>
      </c>
      <c r="H14" s="42">
        <v>32</v>
      </c>
    </row>
    <row r="15" spans="2:8" x14ac:dyDescent="0.45">
      <c r="B15" s="38">
        <v>13</v>
      </c>
      <c r="C15" s="10" t="s">
        <v>40</v>
      </c>
      <c r="D15" s="11">
        <v>32</v>
      </c>
      <c r="E15" s="50">
        <v>-1</v>
      </c>
      <c r="F15" s="38">
        <v>13</v>
      </c>
      <c r="G15" s="4" t="s">
        <v>39</v>
      </c>
      <c r="H15" s="42">
        <v>29</v>
      </c>
    </row>
    <row r="16" spans="2:8" x14ac:dyDescent="0.45">
      <c r="B16" s="38">
        <v>14</v>
      </c>
      <c r="C16" s="4" t="s">
        <v>41</v>
      </c>
      <c r="D16" s="11">
        <v>31</v>
      </c>
      <c r="E16" s="50" t="s">
        <v>65</v>
      </c>
      <c r="F16" s="38">
        <v>14</v>
      </c>
      <c r="G16" s="4" t="s">
        <v>41</v>
      </c>
      <c r="H16" s="42">
        <v>24</v>
      </c>
    </row>
    <row r="17" spans="2:8" x14ac:dyDescent="0.45">
      <c r="B17" s="38">
        <v>15</v>
      </c>
      <c r="C17" s="9" t="s">
        <v>42</v>
      </c>
      <c r="D17" s="11">
        <v>25</v>
      </c>
      <c r="E17" s="50">
        <f>F20-B17</f>
        <v>3</v>
      </c>
      <c r="F17" s="38">
        <v>15</v>
      </c>
      <c r="G17" s="4" t="s">
        <v>45</v>
      </c>
      <c r="H17" s="42">
        <v>24</v>
      </c>
    </row>
    <row r="18" spans="2:8" x14ac:dyDescent="0.45">
      <c r="B18" s="38">
        <v>16</v>
      </c>
      <c r="C18" s="4" t="s">
        <v>43</v>
      </c>
      <c r="D18" s="11">
        <v>25</v>
      </c>
      <c r="E18" s="50" t="s">
        <v>68</v>
      </c>
      <c r="F18" s="38">
        <v>16</v>
      </c>
      <c r="G18" s="4" t="s">
        <v>43</v>
      </c>
      <c r="H18" s="42">
        <v>23</v>
      </c>
    </row>
    <row r="19" spans="2:8" x14ac:dyDescent="0.45">
      <c r="B19" s="38">
        <v>17</v>
      </c>
      <c r="C19" s="4" t="s">
        <v>44</v>
      </c>
      <c r="D19" s="11">
        <v>25</v>
      </c>
      <c r="E19" s="50" t="s">
        <v>64</v>
      </c>
      <c r="F19" s="38">
        <v>17</v>
      </c>
      <c r="G19" s="4" t="s">
        <v>44</v>
      </c>
      <c r="H19" s="42">
        <v>23</v>
      </c>
    </row>
    <row r="20" spans="2:8" x14ac:dyDescent="0.45">
      <c r="B20" s="38">
        <v>18</v>
      </c>
      <c r="C20" s="10" t="s">
        <v>45</v>
      </c>
      <c r="D20" s="11">
        <v>24</v>
      </c>
      <c r="E20" s="50">
        <f>F17-B20</f>
        <v>-3</v>
      </c>
      <c r="F20" s="38">
        <v>18</v>
      </c>
      <c r="G20" s="4" t="s">
        <v>42</v>
      </c>
      <c r="H20" s="42">
        <v>21</v>
      </c>
    </row>
    <row r="21" spans="2:8" x14ac:dyDescent="0.45">
      <c r="B21" s="38">
        <v>19</v>
      </c>
      <c r="C21" s="4" t="s">
        <v>46</v>
      </c>
      <c r="D21" s="11">
        <v>22</v>
      </c>
      <c r="E21" s="50" t="s">
        <v>65</v>
      </c>
      <c r="F21" s="38">
        <v>19</v>
      </c>
      <c r="G21" s="4" t="s">
        <v>46</v>
      </c>
      <c r="H21" s="42">
        <v>21</v>
      </c>
    </row>
    <row r="22" spans="2:8" x14ac:dyDescent="0.45">
      <c r="B22" s="38">
        <v>20</v>
      </c>
      <c r="C22" s="4" t="s">
        <v>47</v>
      </c>
      <c r="D22" s="11">
        <v>21</v>
      </c>
      <c r="E22" s="50" t="s">
        <v>65</v>
      </c>
      <c r="F22" s="38">
        <v>20</v>
      </c>
      <c r="G22" s="4" t="s">
        <v>47</v>
      </c>
      <c r="H22" s="42">
        <v>20</v>
      </c>
    </row>
    <row r="23" spans="2:8" x14ac:dyDescent="0.45">
      <c r="B23" s="38">
        <v>21</v>
      </c>
      <c r="C23" s="9" t="s">
        <v>48</v>
      </c>
      <c r="D23" s="11">
        <v>21</v>
      </c>
      <c r="E23" s="50">
        <f>F26-B23</f>
        <v>3</v>
      </c>
      <c r="F23" s="38">
        <v>21</v>
      </c>
      <c r="G23" s="4" t="s">
        <v>55</v>
      </c>
      <c r="H23" s="42">
        <v>20</v>
      </c>
    </row>
    <row r="24" spans="2:8" x14ac:dyDescent="0.45">
      <c r="B24" s="38">
        <v>22</v>
      </c>
      <c r="C24" s="4" t="s">
        <v>49</v>
      </c>
      <c r="D24" s="11">
        <v>20</v>
      </c>
      <c r="E24" s="50">
        <f>F24-B25</f>
        <v>-1</v>
      </c>
      <c r="F24" s="38">
        <v>22</v>
      </c>
      <c r="G24" s="4" t="s">
        <v>50</v>
      </c>
      <c r="H24" s="42">
        <v>20</v>
      </c>
    </row>
    <row r="25" spans="2:8" x14ac:dyDescent="0.45">
      <c r="B25" s="38">
        <v>23</v>
      </c>
      <c r="C25" s="8" t="s">
        <v>50</v>
      </c>
      <c r="D25" s="11">
        <v>20</v>
      </c>
      <c r="E25" s="50">
        <f>F25-B24</f>
        <v>1</v>
      </c>
      <c r="F25" s="38">
        <v>23</v>
      </c>
      <c r="G25" s="4" t="s">
        <v>49</v>
      </c>
      <c r="H25" s="42">
        <v>19</v>
      </c>
    </row>
    <row r="26" spans="2:8" x14ac:dyDescent="0.45">
      <c r="B26" s="38">
        <v>24</v>
      </c>
      <c r="C26" s="8" t="s">
        <v>51</v>
      </c>
      <c r="D26" s="11">
        <v>20</v>
      </c>
      <c r="E26" s="50">
        <f>F28-B26</f>
        <v>2</v>
      </c>
      <c r="F26" s="38">
        <v>24</v>
      </c>
      <c r="G26" s="4" t="s">
        <v>48</v>
      </c>
      <c r="H26" s="42">
        <v>19</v>
      </c>
    </row>
    <row r="27" spans="2:8" x14ac:dyDescent="0.45">
      <c r="B27" s="38">
        <v>25</v>
      </c>
      <c r="C27" s="4" t="s">
        <v>52</v>
      </c>
      <c r="D27" s="11">
        <v>19</v>
      </c>
      <c r="E27" s="50" t="s">
        <v>65</v>
      </c>
      <c r="F27" s="38">
        <v>25</v>
      </c>
      <c r="G27" s="4" t="s">
        <v>54</v>
      </c>
      <c r="H27" s="42">
        <v>18</v>
      </c>
    </row>
    <row r="28" spans="2:8" x14ac:dyDescent="0.45">
      <c r="B28" s="38">
        <v>26</v>
      </c>
      <c r="C28" s="8" t="s">
        <v>53</v>
      </c>
      <c r="D28" s="11">
        <v>19</v>
      </c>
      <c r="E28" s="50">
        <f>F30-B28</f>
        <v>2</v>
      </c>
      <c r="F28" s="38">
        <v>26</v>
      </c>
      <c r="G28" s="4" t="s">
        <v>51</v>
      </c>
      <c r="H28" s="42">
        <v>18</v>
      </c>
    </row>
    <row r="29" spans="2:8" x14ac:dyDescent="0.45">
      <c r="B29" s="38">
        <v>27</v>
      </c>
      <c r="C29" s="10" t="s">
        <v>54</v>
      </c>
      <c r="D29" s="11">
        <v>19</v>
      </c>
      <c r="E29" s="50">
        <f>F27-B29</f>
        <v>-2</v>
      </c>
      <c r="F29" s="38">
        <v>27</v>
      </c>
      <c r="G29" s="4" t="s">
        <v>52</v>
      </c>
      <c r="H29" s="42">
        <v>17</v>
      </c>
    </row>
    <row r="30" spans="2:8" x14ac:dyDescent="0.45">
      <c r="B30" s="38">
        <v>28</v>
      </c>
      <c r="C30" s="10" t="s">
        <v>55</v>
      </c>
      <c r="D30" s="11">
        <v>18</v>
      </c>
      <c r="E30" s="50">
        <f>F23-B30</f>
        <v>-7</v>
      </c>
      <c r="F30" s="38">
        <v>28</v>
      </c>
      <c r="G30" s="4" t="s">
        <v>53</v>
      </c>
      <c r="H30" s="42">
        <v>17</v>
      </c>
    </row>
    <row r="31" spans="2:8" x14ac:dyDescent="0.45">
      <c r="B31" s="38">
        <v>29</v>
      </c>
      <c r="C31" s="9" t="s">
        <v>56</v>
      </c>
      <c r="D31" s="11">
        <v>18</v>
      </c>
      <c r="E31" s="50">
        <f>38-B31</f>
        <v>9</v>
      </c>
      <c r="F31" s="38">
        <v>29</v>
      </c>
      <c r="G31" s="7" t="s">
        <v>58</v>
      </c>
      <c r="H31" s="42">
        <v>17</v>
      </c>
    </row>
    <row r="32" spans="2:8" ht="17.5" thickBot="1" x14ac:dyDescent="0.5">
      <c r="B32" s="39">
        <v>30</v>
      </c>
      <c r="C32" s="40" t="s">
        <v>57</v>
      </c>
      <c r="D32" s="41">
        <v>17</v>
      </c>
      <c r="E32" s="51">
        <f>31-B32</f>
        <v>1</v>
      </c>
      <c r="F32" s="39">
        <v>30</v>
      </c>
      <c r="G32" s="43" t="s">
        <v>59</v>
      </c>
      <c r="H32" s="44">
        <v>16</v>
      </c>
    </row>
  </sheetData>
  <phoneticPr fontId="3" type="noConversion"/>
  <conditionalFormatting sqref="E3:E3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3:D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{71E456A9-D049-45F9-96B6-6FFC96125EA9}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E456A9-D049-45F9-96B6-6FFC96125E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차트</vt:lpstr>
      </vt:variant>
      <vt:variant>
        <vt:i4>1</vt:i4>
      </vt:variant>
    </vt:vector>
  </HeadingPairs>
  <TitlesOfParts>
    <vt:vector size="3" baseType="lpstr">
      <vt:lpstr>시도별</vt:lpstr>
      <vt:lpstr>시군구별</vt:lpstr>
      <vt:lpstr>Chart1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정민철</cp:lastModifiedBy>
  <dcterms:created xsi:type="dcterms:W3CDTF">2023-06-16T12:20:08Z</dcterms:created>
  <dcterms:modified xsi:type="dcterms:W3CDTF">2023-06-16T14:59:47Z</dcterms:modified>
</cp:coreProperties>
</file>